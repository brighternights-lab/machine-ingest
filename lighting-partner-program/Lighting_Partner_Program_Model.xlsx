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Projection" sheetId="2" state="visible" r:id="rId4"/>
    <sheet name="Fee by gross" sheetId="3" state="visible" r:id="rId5"/>
    <sheet name="Agency comparis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<sst xmlns="http://schemas.openxmlformats.org/spreadsheetml/2006/main" count="92" uniqueCount="83">
  <si>
    <t xml:space="preserve">Assumptions</t>
  </si>
  <si>
    <t xml:space="preserve">Brighter Nights Lighting Technologies  ·  Lighting Partner Program  ·  rebuilt 2026-09-26 (100% fee credit, Site Value Evaluator ledger)</t>
  </si>
  <si>
    <t xml:space="preserve">Fee tiers (marginal, like tax brackets)</t>
  </si>
  <si>
    <t xml:space="preserve">Band width</t>
  </si>
  <si>
    <t xml:space="preserve">Rate</t>
  </si>
  <si>
    <t xml:space="preserve">Notes</t>
  </si>
  <si>
    <t xml:space="preserve">First $250,000</t>
  </si>
  <si>
    <t xml:space="preserve">Rates are inputs. Change C5:C9 and every tab recalculates.</t>
  </si>
  <si>
    <t xml:space="preserve">$250,000 to $500,000</t>
  </si>
  <si>
    <t xml:space="preserve">$500,000 to $750,000</t>
  </si>
  <si>
    <t xml:space="preserve">$750,000 to $1,000,000</t>
  </si>
  <si>
    <t xml:space="preserve">Above $1,000,000</t>
  </si>
  <si>
    <t xml:space="preserve">Program inputs</t>
  </si>
  <si>
    <t xml:space="preserve">Value</t>
  </si>
  <si>
    <t xml:space="preserve">Reinvestment share of fee into partner ads</t>
  </si>
  <si>
    <t xml:space="preserve">Partner matches this amount</t>
  </si>
  <si>
    <t xml:space="preserve">Fee credit rate toward ledger</t>
  </si>
  <si>
    <t xml:space="preserve">RULED 2026-09-26: 100% of every fee dollar</t>
  </si>
  <si>
    <t xml:space="preserve">Trailing months of fee added at buyout</t>
  </si>
  <si>
    <t xml:space="preserve">Soft cap, flag add ons projecting buyout past year</t>
  </si>
  <si>
    <t xml:space="preserve">Add ons per year (light)</t>
  </si>
  <si>
    <t xml:space="preserve">Routine maintenance never counts</t>
  </si>
  <si>
    <t xml:space="preserve">Add ons per year (CRM level)</t>
  </si>
  <si>
    <t xml:space="preserve">Ledger (Site Value Evaluator)</t>
  </si>
  <si>
    <t xml:space="preserve">Part 1  Market replacement cost of what was built</t>
  </si>
  <si>
    <t xml:space="preserve">Base package, 13 items, midpoint of 2026 agency and freelance rates</t>
  </si>
  <si>
    <t xml:space="preserve">Part 2  Contractor hours not spent teaching an agency</t>
  </si>
  <si>
    <t xml:space="preserve">hours</t>
  </si>
  <si>
    <t xml:space="preserve">Contractor hourly value</t>
  </si>
  <si>
    <t xml:space="preserve">per hour</t>
  </si>
  <si>
    <t xml:space="preserve">Part 3  Months of agency delay avoided</t>
  </si>
  <si>
    <t xml:space="preserve">months</t>
  </si>
  <si>
    <t xml:space="preserve">Monthly gross used to price delay</t>
  </si>
  <si>
    <t xml:space="preserve">about $492K a year</t>
  </si>
  <si>
    <t xml:space="preserve">Share of gross driven by the site</t>
  </si>
  <si>
    <t xml:space="preserve">Contractor time value</t>
  </si>
  <si>
    <t xml:space="preserve">Revenue not lost to delay</t>
  </si>
  <si>
    <t xml:space="preserve">LEDGER OPENING VALUE</t>
  </si>
  <si>
    <t xml:space="preserve">Five year projection and earn out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</si>
  <si>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</si>
  <si>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</si>
  <si>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</si>
  <si>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</si>
  <si>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</si>
  <si>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Total</t>
  </si>
  <si>
    <t xml:space="preserve">Partner gross lighting revenue</t>
  </si>
  <si>
    <t xml:space="preserve">Program fee (marginal tiers)</t>
  </si>
  <si>
    <t xml:space="preserve">Blended fee rate</t>
  </si>
  <si>
    <t xml:space="preserve">Partner profit after fee</t>
  </si>
  <si>
    <t xml:space="preserve">Our reinvestment into partner ads</t>
  </si>
  <si>
    <t xml:space="preserve">Partner marketing match</t>
  </si>
  <si>
    <t xml:space="preserve">Fee credit to ledger</t>
  </si>
  <si>
    <t xml:space="preserve">Cumulative credit</t>
  </si>
  <si>
    <t xml:space="preserve">Ledger balance (no add ons)</t>
  </si>
  <si>
    <t xml:space="preserve">Remaining to buy out</t>
  </si>
  <si>
    <t xml:space="preserve">Buyout price today (remaining + trailing fee)</t>
  </si>
  <si>
    <t xml:space="preserve">Owned outright?</t>
  </si>
  <si>
    <t xml:space="preserve">Earn out year (interpolated, no add ons)</t>
  </si>
  <si>
    <t xml:space="preserve">Flat $492K gross, years to earn out</t>
  </si>
  <si>
    <t xml:space="preserve">With add ons (light pace)</t>
  </si>
  <si>
    <t xml:space="preserve">Ledger by year end</t>
  </si>
  <si>
    <t xml:space="preserve">With add ons (CRM level pace)</t>
  </si>
  <si>
    <t xml:space="preserve">Fee at each gross level</t>
  </si>
  <si>
    <t xml:space="preserve">Annual gross</t>
  </si>
  <si>
    <t xml:space="preserve">Fee</t>
  </si>
  <si>
    <t xml:space="preserve">Blended rate</t>
  </si>
  <si>
    <t xml:space="preserve">Profit after fee</t>
  </si>
  <si>
    <t xml:space="preserve">Three year cost, program vs agency vs DIY</t>
  </si>
  <si>
    <t xml:space="preserve">Lighting Partner Program</t>
  </si>
  <si>
    <t xml:space="preserve">Typical agency</t>
  </si>
  <si>
    <t xml:space="preserve">Do it yourself</t>
  </si>
  <si>
    <t xml:space="preserve">Agency monthly retainer</t>
  </si>
  <si>
    <t xml:space="preserve">Agency setup and site build</t>
  </si>
  <si>
    <t xml:space="preserve">DIY build cost (Part 1 replacement)</t>
  </si>
  <si>
    <t xml:space="preserve">Owner time teaching or building (Part 2)</t>
  </si>
  <si>
    <t xml:space="preserve">Revenue lost to delay (Part 3)</t>
  </si>
  <si>
    <t xml:space="preserve">Three year fees paid</t>
  </si>
  <si>
    <t xml:space="preserve">Ads funded by provider over three years</t>
  </si>
  <si>
    <t xml:space="preserve">Hidden costs (time and delay)</t>
  </si>
  <si>
    <t xml:space="preserve">Net three year cost</t>
  </si>
  <si>
    <t xml:space="preserve">Credit toward owning the site</t>
  </si>
  <si>
    <t xml:space="preserve">Asset owned at end (ledger credited)</t>
  </si>
  <si>
    <t xml:space="preserve">Program is cheaper than the agency by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</si>
</sst>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.0%"/>
    <numFmt numFmtId="167" formatCode="0"/>
    <numFmt numFmtId="168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D8DBE3"/>
      <name val="Arial"/>
      <family val="0"/>
      <charset val="1"/>
    </font>
    <font>
      <i val="true"/>
      <sz val="9"/>
      <color rgb="FF8C93A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FF0EAA"/>
      <name val="Arial"/>
      <family val="0"/>
      <charset val="1"/>
    </font>
    <font>
      <b val="true"/>
      <sz val="10"/>
      <color rgb="FF9AD9C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E111B"/>
        <bgColor rgb="FF1A1F2E"/>
      </patternFill>
    </fill>
    <fill>
      <patternFill patternType="solid">
        <fgColor rgb="FF1A1F2E"/>
        <bgColor rgb="FF1F2A44"/>
      </patternFill>
    </fill>
    <fill>
      <patternFill patternType="solid">
        <fgColor rgb="FF1F2A44"/>
        <bgColor rgb="FF1A1F2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EAA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B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AD9C2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C93A6"/>
      <rgbColor rgb="FF003366"/>
      <rgbColor rgb="FF339966"/>
      <rgbColor rgb="FF0E111B"/>
      <rgbColor rgb="FF1A1F2E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60"/>
  </cols>
  <sheetData>
    <row r="1" customFormat="false" ht="19.7" hidden="false" customHeight="false" outlineLevel="0" collapsed="false">
      <c r="A1" s="1" t="s">
        <v>0</v>
      </c>
      <c r="B1" s="2"/>
      <c r="C1" s="2"/>
      <c r="D1" s="2"/>
    </row>
    <row r="2" customFormat="false" ht="15" hidden="false" customHeight="false" outlineLevel="0" collapsed="false">
      <c r="A2" s="3" t="s">
        <v>1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30" hidden="false" customHeight="true" outlineLevel="0" collapsed="false">
      <c r="A4" s="4" t="s">
        <v>2</v>
      </c>
      <c r="B4" s="5" t="s">
        <v>3</v>
      </c>
      <c r="C4" s="5" t="s">
        <v>4</v>
      </c>
      <c r="D4" s="5" t="s">
        <v>5</v>
      </c>
    </row>
    <row r="5" customFormat="false" ht="15" hidden="false" customHeight="false" outlineLevel="0" collapsed="false">
      <c r="A5" s="2" t="s">
        <v>6</v>
      </c>
      <c r="B5" s="6" t="n">
        <v>250000</v>
      </c>
      <c r="C5" s="7" t="n">
        <v>0.07</v>
      </c>
      <c r="D5" s="3" t="s">
        <v>7</v>
      </c>
    </row>
    <row r="6" customFormat="false" ht="15" hidden="false" customHeight="false" outlineLevel="0" collapsed="false">
      <c r="A6" s="2" t="s">
        <v>8</v>
      </c>
      <c r="B6" s="6" t="n">
        <v>250000</v>
      </c>
      <c r="C6" s="7" t="n">
        <v>0.06</v>
      </c>
      <c r="D6" s="2"/>
    </row>
    <row r="7" customFormat="false" ht="15" hidden="false" customHeight="false" outlineLevel="0" collapsed="false">
      <c r="A7" s="2" t="s">
        <v>9</v>
      </c>
      <c r="B7" s="6" t="n">
        <v>250000</v>
      </c>
      <c r="C7" s="7" t="n">
        <v>0.05</v>
      </c>
      <c r="D7" s="2"/>
    </row>
    <row r="8" customFormat="false" ht="15" hidden="false" customHeight="false" outlineLevel="0" collapsed="false">
      <c r="A8" s="2" t="s">
        <v>10</v>
      </c>
      <c r="B8" s="6" t="n">
        <v>250000</v>
      </c>
      <c r="C8" s="7" t="n">
        <v>0.04</v>
      </c>
      <c r="D8" s="2"/>
    </row>
    <row r="9" customFormat="false" ht="15" hidden="false" customHeight="false" outlineLevel="0" collapsed="false">
      <c r="A9" s="2" t="s">
        <v>11</v>
      </c>
      <c r="B9" s="6" t="n">
        <v>1000000000</v>
      </c>
      <c r="C9" s="7" t="n">
        <v>0.03</v>
      </c>
      <c r="D9" s="2"/>
    </row>
    <row r="10" customFormat="false" ht="15" hidden="false" customHeight="false" outlineLevel="0" collapsed="false">
      <c r="A10" s="2"/>
      <c r="B10" s="2"/>
      <c r="C10" s="2"/>
      <c r="D10" s="2"/>
    </row>
    <row r="11" customFormat="false" ht="30" hidden="false" customHeight="true" outlineLevel="0" collapsed="false">
      <c r="A11" s="4" t="s">
        <v>12</v>
      </c>
      <c r="B11" s="5" t="s">
        <v>13</v>
      </c>
      <c r="C11" s="5"/>
      <c r="D11" s="5" t="s">
        <v>5</v>
      </c>
    </row>
    <row r="12" customFormat="false" ht="15" hidden="false" customHeight="false" outlineLevel="0" collapsed="false">
      <c r="A12" s="2" t="s">
        <v>14</v>
      </c>
      <c r="B12" s="7" t="n">
        <v>0.3</v>
      </c>
      <c r="C12" s="2"/>
      <c r="D12" s="3" t="s">
        <v>15</v>
      </c>
    </row>
    <row r="13" customFormat="false" ht="15" hidden="false" customHeight="false" outlineLevel="0" collapsed="false">
      <c r="A13" s="2" t="s">
        <v>16</v>
      </c>
      <c r="B13" s="7" t="n">
        <v>1</v>
      </c>
      <c r="C13" s="2"/>
      <c r="D13" s="3" t="s">
        <v>17</v>
      </c>
    </row>
    <row r="14" customFormat="false" ht="15" hidden="false" customHeight="false" outlineLevel="0" collapsed="false">
      <c r="A14" s="2" t="s">
        <v>18</v>
      </c>
      <c r="B14" s="8" t="n">
        <v>3</v>
      </c>
      <c r="C14" s="2"/>
      <c r="D14" s="3"/>
    </row>
    <row r="15" customFormat="false" ht="15" hidden="false" customHeight="false" outlineLevel="0" collapsed="false">
      <c r="A15" s="2" t="s">
        <v>19</v>
      </c>
      <c r="B15" s="8" t="n">
        <v>7</v>
      </c>
      <c r="C15" s="2"/>
      <c r="D15" s="3"/>
    </row>
    <row r="16" customFormat="false" ht="15" hidden="false" customHeight="false" outlineLevel="0" collapsed="false">
      <c r="A16" s="2" t="s">
        <v>20</v>
      </c>
      <c r="B16" s="9" t="n">
        <v>5000</v>
      </c>
      <c r="C16" s="2"/>
      <c r="D16" s="3" t="s">
        <v>21</v>
      </c>
    </row>
    <row r="17" customFormat="false" ht="15" hidden="false" customHeight="false" outlineLevel="0" collapsed="false">
      <c r="A17" s="2" t="s">
        <v>22</v>
      </c>
      <c r="B17" s="9" t="n">
        <v>20000</v>
      </c>
      <c r="C17" s="2"/>
      <c r="D17" s="3"/>
    </row>
    <row r="18" customFormat="false" ht="15" hidden="false" customHeight="false" outlineLevel="0" collapsed="false">
      <c r="A18" s="2"/>
      <c r="B18" s="2"/>
      <c r="C18" s="2"/>
      <c r="D18" s="2"/>
    </row>
    <row r="19" customFormat="false" ht="30" hidden="false" customHeight="true" outlineLevel="0" collapsed="false">
      <c r="A19" s="4" t="s">
        <v>23</v>
      </c>
      <c r="B19" s="5" t="s">
        <v>13</v>
      </c>
      <c r="C19" s="5"/>
      <c r="D19" s="5" t="s">
        <v>5</v>
      </c>
    </row>
    <row r="20" customFormat="false" ht="15" hidden="false" customHeight="false" outlineLevel="0" collapsed="false">
      <c r="A20" s="2" t="s">
        <v>24</v>
      </c>
      <c r="B20" s="9" t="n">
        <v>102650</v>
      </c>
      <c r="C20" s="2"/>
      <c r="D20" s="3" t="s">
        <v>25</v>
      </c>
    </row>
    <row r="21" customFormat="false" ht="15" hidden="false" customHeight="false" outlineLevel="0" collapsed="false">
      <c r="A21" s="2" t="s">
        <v>26</v>
      </c>
      <c r="B21" s="8" t="n">
        <v>180</v>
      </c>
      <c r="C21" s="2"/>
      <c r="D21" s="3" t="s">
        <v>27</v>
      </c>
    </row>
    <row r="22" customFormat="false" ht="15" hidden="false" customHeight="false" outlineLevel="0" collapsed="false">
      <c r="A22" s="2" t="s">
        <v>28</v>
      </c>
      <c r="B22" s="8" t="n">
        <v>150</v>
      </c>
      <c r="C22" s="2"/>
      <c r="D22" s="3" t="s">
        <v>29</v>
      </c>
    </row>
    <row r="23" customFormat="false" ht="15" hidden="false" customHeight="false" outlineLevel="0" collapsed="false">
      <c r="A23" s="2" t="s">
        <v>30</v>
      </c>
      <c r="B23" s="8" t="n">
        <v>5</v>
      </c>
      <c r="C23" s="2"/>
      <c r="D23" s="3" t="s">
        <v>31</v>
      </c>
    </row>
    <row r="24" customFormat="false" ht="15" hidden="false" customHeight="false" outlineLevel="0" collapsed="false">
      <c r="A24" s="2" t="s">
        <v>32</v>
      </c>
      <c r="B24" s="9" t="n">
        <v>41000</v>
      </c>
      <c r="C24" s="2"/>
      <c r="D24" s="3" t="s">
        <v>33</v>
      </c>
    </row>
    <row r="25" customFormat="false" ht="15" hidden="false" customHeight="false" outlineLevel="0" collapsed="false">
      <c r="A25" s="2" t="s">
        <v>34</v>
      </c>
      <c r="B25" s="7" t="n">
        <v>0.35</v>
      </c>
      <c r="C25" s="2"/>
      <c r="D25" s="3"/>
    </row>
    <row r="26" customFormat="false" ht="15" hidden="false" customHeight="false" outlineLevel="0" collapsed="false">
      <c r="A26" s="2"/>
      <c r="B26" s="2"/>
      <c r="C26" s="2"/>
      <c r="D26" s="2"/>
    </row>
    <row r="27" customFormat="false" ht="15" hidden="false" customHeight="false" outlineLevel="0" collapsed="false">
      <c r="A27" s="2" t="s">
        <v>35</v>
      </c>
      <c r="B27" s="6" t="n">
        <f aca="false">B21*B22</f>
        <v>27000</v>
      </c>
      <c r="C27" s="2"/>
      <c r="D27" s="2"/>
    </row>
    <row r="28" customFormat="false" ht="15" hidden="false" customHeight="false" outlineLevel="0" collapsed="false">
      <c r="A28" s="2" t="s">
        <v>36</v>
      </c>
      <c r="B28" s="6" t="n">
        <f aca="false">B23*B24*B25</f>
        <v>71750</v>
      </c>
      <c r="C28" s="2"/>
      <c r="D28" s="2"/>
    </row>
    <row r="29" customFormat="false" ht="15" hidden="false" customHeight="false" outlineLevel="0" collapsed="false">
      <c r="A29" s="10" t="s">
        <v>37</v>
      </c>
      <c r="B29" s="11" t="n">
        <f aca="false">B20+B27+B28</f>
        <v>201400</v>
      </c>
      <c r="C29" s="2"/>
      <c r="D29" s="2"/>
    </row>
    <row r="30" customFormat="false" ht="15" hidden="false" customHeight="false" outlineLevel="0" collapsed="false">
      <c r="A30" s="2"/>
      <c r="B30" s="2"/>
      <c r="C30" s="2"/>
      <c r="D30" s="2"/>
    </row>
    <row r="31" customFormat="false" ht="15" hidden="false" customHeight="false" outlineLevel="0" collapsed="false">
      <c r="A31" s="2"/>
      <c r="B31" s="2"/>
      <c r="C31" s="2"/>
      <c r="D31" s="2"/>
    </row>
    <row r="32" customFormat="false" ht="15" hidden="false" customHeight="false" outlineLevel="0" collapsed="false">
      <c r="A32" s="2"/>
      <c r="B32" s="2"/>
      <c r="C32" s="2"/>
      <c r="D32" s="2"/>
    </row>
    <row r="33" customFormat="false" ht="15" hidden="false" customHeight="false" outlineLevel="0" collapsed="false">
      <c r="A33" s="2"/>
      <c r="B33" s="2"/>
      <c r="C33" s="2"/>
      <c r="D33" s="2"/>
    </row>
    <row r="34" customFormat="false" ht="15" hidden="false" customHeight="false" outlineLevel="0" collapsed="false">
      <c r="A34" s="2"/>
      <c r="B34" s="2"/>
      <c r="C34" s="2"/>
      <c r="D34" s="2"/>
    </row>
    <row r="35" customFormat="false" ht="15" hidden="false" customHeight="false" outlineLevel="0" collapsed="false">
      <c r="A35" s="2"/>
      <c r="B35" s="2"/>
      <c r="C35" s="2"/>
      <c r="D35" s="2"/>
    </row>
    <row r="36" customFormat="false" ht="15" hidden="false" customHeight="false" outlineLevel="0" collapsed="false">
      <c r="A36" s="2"/>
      <c r="B36" s="2"/>
      <c r="C36" s="2"/>
      <c r="D36" s="2"/>
    </row>
    <row r="37" customFormat="false" ht="15" hidden="false" customHeight="false" outlineLevel="0" collapsed="false">
      <c r="A37" s="2"/>
      <c r="B37" s="2"/>
      <c r="C37" s="2"/>
      <c r="D37" s="2"/>
    </row>
    <row r="38" customFormat="false" ht="15" hidden="false" customHeight="false" outlineLevel="0" collapsed="false">
      <c r="A38" s="2"/>
      <c r="B38" s="2"/>
      <c r="C38" s="2"/>
      <c r="D38" s="2"/>
    </row>
    <row r="39" customFormat="false" ht="15" hidden="false" customHeight="false" outlineLevel="0" collapsed="false">
      <c r="A39" s="2"/>
      <c r="B39" s="2"/>
      <c r="C39" s="2"/>
      <c r="D39" s="2"/>
    </row>
    <row r="40" customFormat="false" ht="15" hidden="false" customHeight="false" outlineLevel="0" collapsed="false">
      <c r="A40" s="2"/>
      <c r="B40" s="2"/>
      <c r="C40" s="2"/>
      <c r="D40" s="2"/>
    </row>
    <row r="41" customFormat="false" ht="15" hidden="false" customHeight="false" outlineLevel="0" collapsed="false">
      <c r="A41" s="2"/>
      <c r="B41" s="2"/>
      <c r="C41" s="2"/>
      <c r="D41" s="2"/>
    </row>
    <row r="42" customFormat="false" ht="15" hidden="false" customHeight="false" outlineLevel="0" collapsed="false">
      <c r="A42" s="2"/>
      <c r="B42" s="2"/>
      <c r="C42" s="2"/>
      <c r="D42" s="2"/>
    </row>
    <row r="43" customFormat="false" ht="15" hidden="false" customHeight="false" outlineLevel="0" collapsed="false">
      <c r="A43" s="2"/>
      <c r="B43" s="2"/>
      <c r="C43" s="2"/>
      <c r="D43" s="2"/>
    </row>
    <row r="44" customFormat="false" ht="15" hidden="false" customHeight="false" outlineLevel="0" collapsed="false">
      <c r="A44" s="2"/>
      <c r="B44" s="2"/>
      <c r="C44" s="2"/>
      <c r="D44" s="2"/>
    </row>
    <row r="45" customFormat="false" ht="15" hidden="false" customHeight="false" outlineLevel="0" collapsed="false">
      <c r="A45" s="2"/>
      <c r="B45" s="2"/>
      <c r="C45" s="2"/>
      <c r="D45" s="2"/>
    </row>
    <row r="46" customFormat="false" ht="15" hidden="false" customHeight="false" outlineLevel="0" collapsed="false">
      <c r="A46" s="2"/>
      <c r="B46" s="2"/>
      <c r="C46" s="2"/>
      <c r="D46" s="2"/>
    </row>
    <row r="47" customFormat="false" ht="15" hidden="false" customHeight="false" outlineLevel="0" collapsed="false">
      <c r="A47" s="2"/>
      <c r="B47" s="2"/>
      <c r="C47" s="2"/>
      <c r="D47" s="2"/>
    </row>
    <row r="48" customFormat="false" ht="15" hidden="false" customHeight="false" outlineLevel="0" collapsed="false">
      <c r="A48" s="2"/>
      <c r="B48" s="2"/>
      <c r="C48" s="2"/>
      <c r="D48" s="2"/>
    </row>
    <row r="49" customFormat="false" ht="15" hidden="false" customHeight="false" outlineLevel="0" collapsed="false">
      <c r="A49" s="2"/>
      <c r="B49" s="2"/>
      <c r="C49" s="2"/>
      <c r="D49" s="2"/>
    </row>
    <row r="50" customFormat="false" ht="15" hidden="false" customHeight="false" outlineLevel="0" collapsed="false">
      <c r="A50" s="2"/>
      <c r="B50" s="2"/>
      <c r="C50" s="2"/>
      <c r="D50" s="2"/>
    </row>
    <row r="51" customFormat="false" ht="15" hidden="false" customHeight="false" outlineLevel="0" collapsed="false">
      <c r="A51" s="2"/>
      <c r="B51" s="2"/>
      <c r="C51" s="2"/>
      <c r="D51" s="2"/>
    </row>
    <row r="52" customFormat="false" ht="15" hidden="false" customHeight="false" outlineLevel="0" collapsed="false">
      <c r="A52" s="2"/>
      <c r="B52" s="2"/>
      <c r="C52" s="2"/>
      <c r="D52" s="2"/>
    </row>
    <row r="53" customFormat="false" ht="15" hidden="false" customHeight="false" outlineLevel="0" collapsed="false">
      <c r="A53" s="2"/>
      <c r="B53" s="2"/>
      <c r="C53" s="2"/>
      <c r="D53" s="2"/>
    </row>
    <row r="54" customFormat="false" ht="15" hidden="false" customHeight="false" outlineLevel="0" collapsed="false">
      <c r="A54" s="2"/>
      <c r="B54" s="2"/>
      <c r="C54" s="2"/>
      <c r="D54" s="2"/>
    </row>
    <row r="55" customFormat="false" ht="15" hidden="false" customHeight="false" outlineLevel="0" collapsed="false">
      <c r="A55" s="2"/>
      <c r="B55" s="2"/>
      <c r="C55" s="2"/>
      <c r="D55" s="2"/>
    </row>
    <row r="56" customFormat="false" ht="15" hidden="false" customHeight="false" outlineLevel="0" collapsed="false">
      <c r="A56" s="2"/>
      <c r="B56" s="2"/>
      <c r="C56" s="2"/>
      <c r="D56" s="2"/>
    </row>
    <row r="57" customFormat="false" ht="15" hidden="false" customHeight="false" outlineLevel="0" collapsed="false">
      <c r="A57" s="2"/>
      <c r="B57" s="2"/>
      <c r="C57" s="2"/>
      <c r="D57" s="2"/>
    </row>
    <row r="58" customFormat="false" ht="15" hidden="false" customHeight="false" outlineLevel="0" collapsed="false">
      <c r="A58" s="2"/>
      <c r="B58" s="2"/>
      <c r="C58" s="2"/>
      <c r="D58" s="2"/>
    </row>
    <row r="59" customFormat="false" ht="15" hidden="false" customHeight="false" outlineLevel="0" collapsed="false">
      <c r="A59" s="2"/>
      <c r="B59" s="2"/>
      <c r="C59" s="2"/>
      <c r="D5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6"/>
  </cols>
  <sheetData>
    <row r="1" customFormat="false" ht="19.7" hidden="false" customHeight="false" outlineLevel="0" collapsed="false">
      <c r="A1" s="1" t="s">
        <v>38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30" hidden="false" customHeight="true" outlineLevel="0" collapsed="false">
      <c r="A4" s="4"/>
      <c r="B4" s="5" t="s">
        <v>39</v>
      </c>
      <c r="C4" s="5" t="s">
        <v>40</v>
      </c>
      <c r="D4" s="5" t="s">
        <v>41</v>
      </c>
      <c r="E4" s="5" t="s">
        <v>42</v>
      </c>
      <c r="F4" s="5" t="s">
        <v>43</v>
      </c>
      <c r="G4" s="5" t="s">
        <v>44</v>
      </c>
    </row>
    <row r="5" customFormat="false" ht="15" hidden="false" customHeight="false" outlineLevel="0" collapsed="false">
      <c r="A5" s="2" t="s">
        <v>45</v>
      </c>
      <c r="B5" s="9" t="n">
        <v>500000</v>
      </c>
      <c r="C5" s="9" t="n">
        <v>750000</v>
      </c>
      <c r="D5" s="9" t="n">
        <v>1000000</v>
      </c>
      <c r="E5" s="9" t="n">
        <v>1300000</v>
      </c>
      <c r="F5" s="9" t="n">
        <v>1600000</v>
      </c>
      <c r="G5" s="6" t="n">
        <f aca="false">SUM(B5:F5)</f>
        <v>5150000</v>
      </c>
    </row>
    <row r="6" customFormat="false" ht="15" hidden="false" customHeight="false" outlineLevel="0" collapsed="false">
      <c r="A6" s="2" t="s">
        <v>46</v>
      </c>
      <c r="B6" s="6" t="n">
        <f aca="false">MIN(B5,Assumptions!$B$5)*Assumptions!$C$5+MIN(MAX(B5-Assumptions!$B$5,0),Assumptions!$B$6)*Assumptions!$C$6+MIN(MAX(B5-Assumptions!$B$5-Assumptions!$B$6,0),Assumptions!$B$7)*Assumptions!$C$7+MIN(MAX(B5-Assumptions!$B$5-Assumptions!$B$6-Assumptions!$B$7,0),Assumptions!$B$8)*Assumptions!$C$8+MAX(B5-Assumptions!$B$5-Assumptions!$B$6-Assumptions!$B$7-Assumptions!$B$8,0)*Assumptions!$C$9</f>
        <v>32500</v>
      </c>
      <c r="C6" s="6" t="n">
        <f aca="false">MIN(C5,Assumptions!$B$5)*Assumptions!$C$5+MIN(MAX(C5-Assumptions!$B$5,0),Assumptions!$B$6)*Assumptions!$C$6+MIN(MAX(C5-Assumptions!$B$5-Assumptions!$B$6,0),Assumptions!$B$7)*Assumptions!$C$7+MIN(MAX(C5-Assumptions!$B$5-Assumptions!$B$6-Assumptions!$B$7,0),Assumptions!$B$8)*Assumptions!$C$8+MAX(C5-Assumptions!$B$5-Assumptions!$B$6-Assumptions!$B$7-Assumptions!$B$8,0)*Assumptions!$C$9</f>
        <v>45000</v>
      </c>
      <c r="D6" s="6" t="n">
        <f aca="false">MIN(D5,Assumptions!$B$5)*Assumptions!$C$5+MIN(MAX(D5-Assumptions!$B$5,0),Assumptions!$B$6)*Assumptions!$C$6+MIN(MAX(D5-Assumptions!$B$5-Assumptions!$B$6,0),Assumptions!$B$7)*Assumptions!$C$7+MIN(MAX(D5-Assumptions!$B$5-Assumptions!$B$6-Assumptions!$B$7,0),Assumptions!$B$8)*Assumptions!$C$8+MAX(D5-Assumptions!$B$5-Assumptions!$B$6-Assumptions!$B$7-Assumptions!$B$8,0)*Assumptions!$C$9</f>
        <v>55000</v>
      </c>
      <c r="E6" s="6" t="n">
        <f aca="false">MIN(E5,Assumptions!$B$5)*Assumptions!$C$5+MIN(MAX(E5-Assumptions!$B$5,0),Assumptions!$B$6)*Assumptions!$C$6+MIN(MAX(E5-Assumptions!$B$5-Assumptions!$B$6,0),Assumptions!$B$7)*Assumptions!$C$7+MIN(MAX(E5-Assumptions!$B$5-Assumptions!$B$6-Assumptions!$B$7,0),Assumptions!$B$8)*Assumptions!$C$8+MAX(E5-Assumptions!$B$5-Assumptions!$B$6-Assumptions!$B$7-Assumptions!$B$8,0)*Assumptions!$C$9</f>
        <v>64000</v>
      </c>
      <c r="F6" s="6" t="n">
        <f aca="false">MIN(F5,Assumptions!$B$5)*Assumptions!$C$5+MIN(MAX(F5-Assumptions!$B$5,0),Assumptions!$B$6)*Assumptions!$C$6+MIN(MAX(F5-Assumptions!$B$5-Assumptions!$B$6,0),Assumptions!$B$7)*Assumptions!$C$7+MIN(MAX(F5-Assumptions!$B$5-Assumptions!$B$6-Assumptions!$B$7,0),Assumptions!$B$8)*Assumptions!$C$8+MAX(F5-Assumptions!$B$5-Assumptions!$B$6-Assumptions!$B$7-Assumptions!$B$8,0)*Assumptions!$C$9</f>
        <v>73000</v>
      </c>
      <c r="G6" s="6" t="n">
        <f aca="false">SUM(B6:F6)</f>
        <v>269500</v>
      </c>
    </row>
    <row r="7" customFormat="false" ht="15" hidden="false" customHeight="false" outlineLevel="0" collapsed="false">
      <c r="A7" s="2" t="s">
        <v>47</v>
      </c>
      <c r="B7" s="12" t="n">
        <f aca="false">B6/B5</f>
        <v>0.065</v>
      </c>
      <c r="C7" s="12" t="n">
        <f aca="false">C6/C5</f>
        <v>0.06</v>
      </c>
      <c r="D7" s="12" t="n">
        <f aca="false">D6/D5</f>
        <v>0.055</v>
      </c>
      <c r="E7" s="12" t="n">
        <f aca="false">E6/E5</f>
        <v>0.0492307692307692</v>
      </c>
      <c r="F7" s="12" t="n">
        <f aca="false">F6/F5</f>
        <v>0.045625</v>
      </c>
      <c r="G7" s="2"/>
    </row>
    <row r="8" customFormat="false" ht="15" hidden="false" customHeight="false" outlineLevel="0" collapsed="false">
      <c r="A8" s="2" t="s">
        <v>48</v>
      </c>
      <c r="B8" s="6" t="n">
        <f aca="false">B5-B6</f>
        <v>467500</v>
      </c>
      <c r="C8" s="6" t="n">
        <f aca="false">C5-C6</f>
        <v>705000</v>
      </c>
      <c r="D8" s="6" t="n">
        <f aca="false">D5-D6</f>
        <v>945000</v>
      </c>
      <c r="E8" s="6" t="n">
        <f aca="false">E5-E6</f>
        <v>1236000</v>
      </c>
      <c r="F8" s="6" t="n">
        <f aca="false">F5-F6</f>
        <v>1527000</v>
      </c>
      <c r="G8" s="6" t="n">
        <f aca="false">SUM(B8:F8)</f>
        <v>4880500</v>
      </c>
    </row>
    <row r="9" customFormat="false" ht="15" hidden="false" customHeight="false" outlineLevel="0" collapsed="false">
      <c r="A9" s="2" t="s">
        <v>49</v>
      </c>
      <c r="B9" s="6" t="n">
        <f aca="false">B6*Assumptions!$B$12</f>
        <v>9750</v>
      </c>
      <c r="C9" s="6" t="n">
        <f aca="false">C6*Assumptions!$B$12</f>
        <v>13500</v>
      </c>
      <c r="D9" s="6" t="n">
        <f aca="false">D6*Assumptions!$B$12</f>
        <v>16500</v>
      </c>
      <c r="E9" s="6" t="n">
        <f aca="false">E6*Assumptions!$B$12</f>
        <v>19200</v>
      </c>
      <c r="F9" s="6" t="n">
        <f aca="false">F6*Assumptions!$B$12</f>
        <v>21900</v>
      </c>
      <c r="G9" s="6" t="n">
        <f aca="false">SUM(B9:F9)</f>
        <v>80850</v>
      </c>
    </row>
    <row r="10" customFormat="false" ht="15" hidden="false" customHeight="false" outlineLevel="0" collapsed="false">
      <c r="A10" s="2" t="s">
        <v>50</v>
      </c>
      <c r="B10" s="6" t="n">
        <f aca="false">B6*Assumptions!$B$12</f>
        <v>9750</v>
      </c>
      <c r="C10" s="6" t="n">
        <f aca="false">C6*Assumptions!$B$12</f>
        <v>13500</v>
      </c>
      <c r="D10" s="6" t="n">
        <f aca="false">D6*Assumptions!$B$12</f>
        <v>16500</v>
      </c>
      <c r="E10" s="6" t="n">
        <f aca="false">E6*Assumptions!$B$12</f>
        <v>19200</v>
      </c>
      <c r="F10" s="6" t="n">
        <f aca="false">F6*Assumptions!$B$12</f>
        <v>21900</v>
      </c>
      <c r="G10" s="6" t="n">
        <f aca="false">SUM(B10:F10)</f>
        <v>80850</v>
      </c>
    </row>
    <row r="11" customFormat="false" ht="15" hidden="false" customHeight="false" outlineLevel="0" collapsed="false">
      <c r="A11" s="2" t="s">
        <v>51</v>
      </c>
      <c r="B11" s="6" t="n">
        <f aca="false">B6*Assumptions!$B$13</f>
        <v>32500</v>
      </c>
      <c r="C11" s="6" t="n">
        <f aca="false">C6*Assumptions!$B$13</f>
        <v>45000</v>
      </c>
      <c r="D11" s="6" t="n">
        <f aca="false">D6*Assumptions!$B$13</f>
        <v>55000</v>
      </c>
      <c r="E11" s="6" t="n">
        <f aca="false">E6*Assumptions!$B$13</f>
        <v>64000</v>
      </c>
      <c r="F11" s="6" t="n">
        <f aca="false">F6*Assumptions!$B$13</f>
        <v>73000</v>
      </c>
      <c r="G11" s="6" t="n">
        <f aca="false">SUM(B11:F11)</f>
        <v>269500</v>
      </c>
    </row>
    <row r="12" customFormat="false" ht="15" hidden="false" customHeight="false" outlineLevel="0" collapsed="false">
      <c r="A12" s="2" t="s">
        <v>52</v>
      </c>
      <c r="B12" s="6" t="n">
        <f aca="false">SUM($B$11:B11)</f>
        <v>32500</v>
      </c>
      <c r="C12" s="6" t="n">
        <f aca="false">SUM($B$11:C11)</f>
        <v>77500</v>
      </c>
      <c r="D12" s="6" t="n">
        <f aca="false">SUM($B$11:D11)</f>
        <v>132500</v>
      </c>
      <c r="E12" s="6" t="n">
        <f aca="false">SUM($B$11:E11)</f>
        <v>196500</v>
      </c>
      <c r="F12" s="6" t="n">
        <f aca="false">SUM($B$11:F11)</f>
        <v>269500</v>
      </c>
      <c r="G12" s="2"/>
    </row>
    <row r="13" customFormat="false" ht="15" hidden="false" customHeight="false" outlineLevel="0" collapsed="false">
      <c r="A13" s="2" t="s">
        <v>53</v>
      </c>
      <c r="B13" s="6" t="n">
        <f aca="false">Assumptions!$B$29</f>
        <v>201400</v>
      </c>
      <c r="C13" s="6" t="n">
        <f aca="false">Assumptions!$B$29</f>
        <v>201400</v>
      </c>
      <c r="D13" s="6" t="n">
        <f aca="false">Assumptions!$B$29</f>
        <v>201400</v>
      </c>
      <c r="E13" s="6" t="n">
        <f aca="false">Assumptions!$B$29</f>
        <v>201400</v>
      </c>
      <c r="F13" s="6" t="n">
        <f aca="false">Assumptions!$B$29</f>
        <v>201400</v>
      </c>
      <c r="G13" s="2"/>
    </row>
    <row r="14" customFormat="false" ht="15" hidden="false" customHeight="false" outlineLevel="0" collapsed="false">
      <c r="A14" s="2" t="s">
        <v>54</v>
      </c>
      <c r="B14" s="6" t="n">
        <f aca="false">MAX(B13-B12,0)</f>
        <v>168900</v>
      </c>
      <c r="C14" s="6" t="n">
        <f aca="false">MAX(C13-C12,0)</f>
        <v>123900</v>
      </c>
      <c r="D14" s="6" t="n">
        <f aca="false">MAX(D13-D12,0)</f>
        <v>68900</v>
      </c>
      <c r="E14" s="6" t="n">
        <f aca="false">MAX(E13-E12,0)</f>
        <v>4900</v>
      </c>
      <c r="F14" s="6" t="n">
        <f aca="false">MAX(F13-F12,0)</f>
        <v>0</v>
      </c>
      <c r="G14" s="2"/>
    </row>
    <row r="15" customFormat="false" ht="15" hidden="false" customHeight="false" outlineLevel="0" collapsed="false">
      <c r="A15" s="2" t="s">
        <v>55</v>
      </c>
      <c r="B15" s="6" t="n">
        <f aca="false">B14+B6*Assumptions!$B$14/12</f>
        <v>177025</v>
      </c>
      <c r="C15" s="6" t="n">
        <f aca="false">C14+C6*Assumptions!$B$14/12</f>
        <v>135150</v>
      </c>
      <c r="D15" s="6" t="n">
        <f aca="false">D14+D6*Assumptions!$B$14/12</f>
        <v>82650</v>
      </c>
      <c r="E15" s="6" t="n">
        <f aca="false">E14+E6*Assumptions!$B$14/12</f>
        <v>20900</v>
      </c>
      <c r="F15" s="6" t="n">
        <f aca="false">F14+F6*Assumptions!$B$14/12</f>
        <v>18250</v>
      </c>
      <c r="G15" s="2"/>
    </row>
    <row r="16" customFormat="false" ht="15" hidden="false" customHeight="false" outlineLevel="0" collapsed="false">
      <c r="A16" s="13" t="s">
        <v>56</v>
      </c>
      <c r="B16" s="13" t="str">
        <f aca="false">IF(B12&gt;=B13,"YES","not yet")</f>
        <v>not yet</v>
      </c>
      <c r="C16" s="13" t="str">
        <f aca="false">IF(C12&gt;=C13,"YES","not yet")</f>
        <v>not yet</v>
      </c>
      <c r="D16" s="13" t="str">
        <f aca="false">IF(D12&gt;=D13,"YES","not yet")</f>
        <v>not yet</v>
      </c>
      <c r="E16" s="13" t="str">
        <f aca="false">IF(E12&gt;=E13,"YES","not yet")</f>
        <v>not yet</v>
      </c>
      <c r="F16" s="13" t="str">
        <f aca="false">IF(F12&gt;=F13,"YES","not yet")</f>
        <v>YES</v>
      </c>
      <c r="G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</row>
    <row r="18" customFormat="false" ht="15" hidden="false" customHeight="false" outlineLevel="0" collapsed="false">
      <c r="A18" s="10" t="s">
        <v>57</v>
      </c>
      <c r="B18" s="14" t="n">
        <f aca="false">IF(F12&lt;Assumptions!B29,"past year 5",IF(B12&gt;=Assumptions!B29,B12/B11,IF(C12&gt;=Assumptions!B29,1+(Assumptions!B29-B12)/C11,IF(D12&gt;=Assumptions!B29,2+(Assumptions!B29-C12)/D11,IF(E12&gt;=Assumptions!B29,3+(Assumptions!B29-D12)/E11,4+(Assumptions!B29-E12)/F11)))))</f>
        <v>4.06712328767123</v>
      </c>
      <c r="C18" s="2"/>
      <c r="D18" s="2"/>
      <c r="E18" s="2"/>
      <c r="F18" s="2"/>
      <c r="G18" s="2"/>
    </row>
    <row r="19" customFormat="false" ht="15" hidden="false" customHeight="false" outlineLevel="0" collapsed="false">
      <c r="A19" s="2" t="s">
        <v>58</v>
      </c>
      <c r="B19" s="15" t="n">
        <f aca="false">Assumptions!B29/(MIN(492000,Assumptions!B5)*Assumptions!C5+MIN(MAX(492000-Assumptions!B5,0),Assumptions!B6)*Assumptions!C6)/Assumptions!B13</f>
        <v>6.28981886321049</v>
      </c>
      <c r="C19" s="2"/>
      <c r="D19" s="2"/>
      <c r="E19" s="2"/>
      <c r="F19" s="2"/>
      <c r="G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</row>
    <row r="21" customFormat="false" ht="15" hidden="false" customHeight="false" outlineLevel="0" collapsed="false">
      <c r="A21" s="16" t="s">
        <v>59</v>
      </c>
      <c r="B21" s="2"/>
      <c r="C21" s="2"/>
      <c r="D21" s="2"/>
      <c r="E21" s="2"/>
      <c r="F21" s="2"/>
      <c r="G21" s="2"/>
    </row>
    <row r="22" customFormat="false" ht="15" hidden="false" customHeight="false" outlineLevel="0" collapsed="false">
      <c r="A22" s="2" t="s">
        <v>60</v>
      </c>
      <c r="B22" s="6" t="n">
        <f aca="false">Assumptions!$B$29+Assumptions!$B$16*1</f>
        <v>206400</v>
      </c>
      <c r="C22" s="6" t="n">
        <f aca="false">Assumptions!$B$29+Assumptions!$B$16*2</f>
        <v>211400</v>
      </c>
      <c r="D22" s="6" t="n">
        <f aca="false">Assumptions!$B$29+Assumptions!$B$16*3</f>
        <v>216400</v>
      </c>
      <c r="E22" s="6" t="n">
        <f aca="false">Assumptions!$B$29+Assumptions!$B$16*4</f>
        <v>221400</v>
      </c>
      <c r="F22" s="6" t="n">
        <f aca="false">Assumptions!$B$29+Assumptions!$B$16*5</f>
        <v>226400</v>
      </c>
      <c r="G22" s="2"/>
    </row>
    <row r="23" customFormat="false" ht="15" hidden="false" customHeight="false" outlineLevel="0" collapsed="false">
      <c r="A23" s="2" t="s">
        <v>56</v>
      </c>
      <c r="B23" s="2" t="str">
        <f aca="false">IF(B12&gt;=B22,"YES","not yet")</f>
        <v>not yet</v>
      </c>
      <c r="C23" s="2" t="str">
        <f aca="false">IF(C12&gt;=C22,"YES","not yet")</f>
        <v>not yet</v>
      </c>
      <c r="D23" s="2" t="str">
        <f aca="false">IF(D12&gt;=D22,"YES","not yet")</f>
        <v>not yet</v>
      </c>
      <c r="E23" s="2" t="str">
        <f aca="false">IF(E12&gt;=E22,"YES","not yet")</f>
        <v>not yet</v>
      </c>
      <c r="F23" s="2" t="str">
        <f aca="false">IF(F12&gt;=F22,"YES","not yet")</f>
        <v>YES</v>
      </c>
      <c r="G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</row>
    <row r="25" customFormat="false" ht="15" hidden="false" customHeight="false" outlineLevel="0" collapsed="false">
      <c r="A25" s="16" t="s">
        <v>61</v>
      </c>
      <c r="B25" s="2"/>
      <c r="C25" s="2"/>
      <c r="D25" s="2"/>
      <c r="E25" s="2"/>
      <c r="F25" s="2"/>
      <c r="G25" s="2"/>
    </row>
    <row r="26" customFormat="false" ht="15" hidden="false" customHeight="false" outlineLevel="0" collapsed="false">
      <c r="A26" s="2" t="s">
        <v>60</v>
      </c>
      <c r="B26" s="6" t="n">
        <f aca="false">Assumptions!$B$29+Assumptions!$B$17*1</f>
        <v>221400</v>
      </c>
      <c r="C26" s="6" t="n">
        <f aca="false">Assumptions!$B$29+Assumptions!$B$17*2</f>
        <v>241400</v>
      </c>
      <c r="D26" s="6" t="n">
        <f aca="false">Assumptions!$B$29+Assumptions!$B$17*3</f>
        <v>261400</v>
      </c>
      <c r="E26" s="6" t="n">
        <f aca="false">Assumptions!$B$29+Assumptions!$B$17*4</f>
        <v>281400</v>
      </c>
      <c r="F26" s="6" t="n">
        <f aca="false">Assumptions!$B$29+Assumptions!$B$17*5</f>
        <v>301400</v>
      </c>
      <c r="G26" s="2"/>
    </row>
    <row r="27" customFormat="false" ht="15" hidden="false" customHeight="false" outlineLevel="0" collapsed="false">
      <c r="A27" s="2" t="s">
        <v>56</v>
      </c>
      <c r="B27" s="2" t="str">
        <f aca="false">IF(B12&gt;=B26,"YES","not yet")</f>
        <v>not yet</v>
      </c>
      <c r="C27" s="2" t="str">
        <f aca="false">IF(C12&gt;=C26,"YES","not yet")</f>
        <v>not yet</v>
      </c>
      <c r="D27" s="2" t="str">
        <f aca="false">IF(D12&gt;=D26,"YES","not yet")</f>
        <v>not yet</v>
      </c>
      <c r="E27" s="2" t="str">
        <f aca="false">IF(E12&gt;=E26,"YES","not yet")</f>
        <v>not yet</v>
      </c>
      <c r="F27" s="2" t="str">
        <f aca="false">IF(F12&gt;=F26,"YES","not yet")</f>
        <v>not yet</v>
      </c>
      <c r="G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6"/>
    <col collapsed="false" customWidth="true" hidden="false" outlineLevel="0" max="4" min="4" style="0" width="18"/>
  </cols>
  <sheetData>
    <row r="1" customFormat="false" ht="19.7" hidden="false" customHeight="false" outlineLevel="0" collapsed="false">
      <c r="A1" s="1" t="s">
        <v>62</v>
      </c>
      <c r="B1" s="2"/>
      <c r="C1" s="2"/>
      <c r="D1" s="2"/>
    </row>
    <row r="2" customFormat="false" ht="15" hidden="false" customHeight="false" outlineLevel="0" collapsed="false">
      <c r="A2" s="3" t="s">
        <v>1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30" hidden="false" customHeight="true" outlineLevel="0" collapsed="false">
      <c r="A4" s="4" t="s">
        <v>63</v>
      </c>
      <c r="B4" s="5" t="s">
        <v>64</v>
      </c>
      <c r="C4" s="5" t="s">
        <v>65</v>
      </c>
      <c r="D4" s="5" t="s">
        <v>66</v>
      </c>
    </row>
    <row r="5" customFormat="false" ht="15" hidden="false" customHeight="false" outlineLevel="0" collapsed="false">
      <c r="A5" s="6" t="n">
        <v>250000</v>
      </c>
      <c r="B5" s="6" t="n">
        <f aca="false">MIN(A5,Assumptions!$B$5)*Assumptions!$C$5+MIN(MAX(A5-Assumptions!$B$5,0),Assumptions!$B$6)*Assumptions!$C$6+MIN(MAX(A5-Assumptions!$B$5-Assumptions!$B$6,0),Assumptions!$B$7)*Assumptions!$C$7+MIN(MAX(A5-Assumptions!$B$5-Assumptions!$B$6-Assumptions!$B$7,0),Assumptions!$B$8)*Assumptions!$C$8+MAX(A5-Assumptions!$B$5-Assumptions!$B$6-Assumptions!$B$7-Assumptions!$B$8,0)*Assumptions!$C$9</f>
        <v>17500</v>
      </c>
      <c r="C5" s="12" t="n">
        <f aca="false">B5/A5</f>
        <v>0.07</v>
      </c>
      <c r="D5" s="6" t="n">
        <f aca="false">A5-B5</f>
        <v>232500</v>
      </c>
    </row>
    <row r="6" customFormat="false" ht="15" hidden="false" customHeight="false" outlineLevel="0" collapsed="false">
      <c r="A6" s="6" t="n">
        <v>500000</v>
      </c>
      <c r="B6" s="6" t="n">
        <f aca="false">MIN(A6,Assumptions!$B$5)*Assumptions!$C$5+MIN(MAX(A6-Assumptions!$B$5,0),Assumptions!$B$6)*Assumptions!$C$6+MIN(MAX(A6-Assumptions!$B$5-Assumptions!$B$6,0),Assumptions!$B$7)*Assumptions!$C$7+MIN(MAX(A6-Assumptions!$B$5-Assumptions!$B$6-Assumptions!$B$7,0),Assumptions!$B$8)*Assumptions!$C$8+MAX(A6-Assumptions!$B$5-Assumptions!$B$6-Assumptions!$B$7-Assumptions!$B$8,0)*Assumptions!$C$9</f>
        <v>32500</v>
      </c>
      <c r="C6" s="12" t="n">
        <f aca="false">B6/A6</f>
        <v>0.065</v>
      </c>
      <c r="D6" s="6" t="n">
        <f aca="false">A6-B6</f>
        <v>467500</v>
      </c>
    </row>
    <row r="7" customFormat="false" ht="15" hidden="false" customHeight="false" outlineLevel="0" collapsed="false">
      <c r="A7" s="6" t="n">
        <v>750000</v>
      </c>
      <c r="B7" s="6" t="n">
        <f aca="false">MIN(A7,Assumptions!$B$5)*Assumptions!$C$5+MIN(MAX(A7-Assumptions!$B$5,0),Assumptions!$B$6)*Assumptions!$C$6+MIN(MAX(A7-Assumptions!$B$5-Assumptions!$B$6,0),Assumptions!$B$7)*Assumptions!$C$7+MIN(MAX(A7-Assumptions!$B$5-Assumptions!$B$6-Assumptions!$B$7,0),Assumptions!$B$8)*Assumptions!$C$8+MAX(A7-Assumptions!$B$5-Assumptions!$B$6-Assumptions!$B$7-Assumptions!$B$8,0)*Assumptions!$C$9</f>
        <v>45000</v>
      </c>
      <c r="C7" s="12" t="n">
        <f aca="false">B7/A7</f>
        <v>0.06</v>
      </c>
      <c r="D7" s="6" t="n">
        <f aca="false">A7-B7</f>
        <v>705000</v>
      </c>
    </row>
    <row r="8" customFormat="false" ht="15" hidden="false" customHeight="false" outlineLevel="0" collapsed="false">
      <c r="A8" s="6" t="n">
        <v>1000000</v>
      </c>
      <c r="B8" s="6" t="n">
        <f aca="false">MIN(A8,Assumptions!$B$5)*Assumptions!$C$5+MIN(MAX(A8-Assumptions!$B$5,0),Assumptions!$B$6)*Assumptions!$C$6+MIN(MAX(A8-Assumptions!$B$5-Assumptions!$B$6,0),Assumptions!$B$7)*Assumptions!$C$7+MIN(MAX(A8-Assumptions!$B$5-Assumptions!$B$6-Assumptions!$B$7,0),Assumptions!$B$8)*Assumptions!$C$8+MAX(A8-Assumptions!$B$5-Assumptions!$B$6-Assumptions!$B$7-Assumptions!$B$8,0)*Assumptions!$C$9</f>
        <v>55000</v>
      </c>
      <c r="C8" s="12" t="n">
        <f aca="false">B8/A8</f>
        <v>0.055</v>
      </c>
      <c r="D8" s="6" t="n">
        <f aca="false">A8-B8</f>
        <v>945000</v>
      </c>
    </row>
    <row r="9" customFormat="false" ht="15" hidden="false" customHeight="false" outlineLevel="0" collapsed="false">
      <c r="A9" s="6" t="n">
        <v>1250000</v>
      </c>
      <c r="B9" s="6" t="n">
        <f aca="false">MIN(A9,Assumptions!$B$5)*Assumptions!$C$5+MIN(MAX(A9-Assumptions!$B$5,0),Assumptions!$B$6)*Assumptions!$C$6+MIN(MAX(A9-Assumptions!$B$5-Assumptions!$B$6,0),Assumptions!$B$7)*Assumptions!$C$7+MIN(MAX(A9-Assumptions!$B$5-Assumptions!$B$6-Assumptions!$B$7,0),Assumptions!$B$8)*Assumptions!$C$8+MAX(A9-Assumptions!$B$5-Assumptions!$B$6-Assumptions!$B$7-Assumptions!$B$8,0)*Assumptions!$C$9</f>
        <v>62500</v>
      </c>
      <c r="C9" s="12" t="n">
        <f aca="false">B9/A9</f>
        <v>0.05</v>
      </c>
      <c r="D9" s="6" t="n">
        <f aca="false">A9-B9</f>
        <v>1187500</v>
      </c>
    </row>
    <row r="10" customFormat="false" ht="15" hidden="false" customHeight="false" outlineLevel="0" collapsed="false">
      <c r="A10" s="6" t="n">
        <v>1500000</v>
      </c>
      <c r="B10" s="6" t="n">
        <f aca="false">MIN(A10,Assumptions!$B$5)*Assumptions!$C$5+MIN(MAX(A10-Assumptions!$B$5,0),Assumptions!$B$6)*Assumptions!$C$6+MIN(MAX(A10-Assumptions!$B$5-Assumptions!$B$6,0),Assumptions!$B$7)*Assumptions!$C$7+MIN(MAX(A10-Assumptions!$B$5-Assumptions!$B$6-Assumptions!$B$7,0),Assumptions!$B$8)*Assumptions!$C$8+MAX(A10-Assumptions!$B$5-Assumptions!$B$6-Assumptions!$B$7-Assumptions!$B$8,0)*Assumptions!$C$9</f>
        <v>70000</v>
      </c>
      <c r="C10" s="12" t="n">
        <f aca="false">B10/A10</f>
        <v>0.0466666666666667</v>
      </c>
      <c r="D10" s="6" t="n">
        <f aca="false">A10-B10</f>
        <v>1430000</v>
      </c>
    </row>
    <row r="11" customFormat="false" ht="15" hidden="false" customHeight="false" outlineLevel="0" collapsed="false">
      <c r="A11" s="6" t="n">
        <v>2000000</v>
      </c>
      <c r="B11" s="6" t="n">
        <f aca="false">MIN(A11,Assumptions!$B$5)*Assumptions!$C$5+MIN(MAX(A11-Assumptions!$B$5,0),Assumptions!$B$6)*Assumptions!$C$6+MIN(MAX(A11-Assumptions!$B$5-Assumptions!$B$6,0),Assumptions!$B$7)*Assumptions!$C$7+MIN(MAX(A11-Assumptions!$B$5-Assumptions!$B$6-Assumptions!$B$7,0),Assumptions!$B$8)*Assumptions!$C$8+MAX(A11-Assumptions!$B$5-Assumptions!$B$6-Assumptions!$B$7-Assumptions!$B$8,0)*Assumptions!$C$9</f>
        <v>85000</v>
      </c>
      <c r="C11" s="12" t="n">
        <f aca="false">B11/A11</f>
        <v>0.0425</v>
      </c>
      <c r="D11" s="6" t="n">
        <f aca="false">A11-B11</f>
        <v>1915000</v>
      </c>
    </row>
    <row r="12" customFormat="false" ht="15" hidden="false" customHeight="false" outlineLevel="0" collapsed="false">
      <c r="A12" s="2"/>
      <c r="B12" s="2"/>
      <c r="C12" s="2"/>
      <c r="D12" s="2"/>
    </row>
    <row r="13" customFormat="false" ht="15" hidden="false" customHeight="false" outlineLevel="0" collapsed="false">
      <c r="A13" s="2"/>
      <c r="B13" s="2"/>
      <c r="C13" s="2"/>
      <c r="D13" s="2"/>
    </row>
    <row r="14" customFormat="false" ht="15" hidden="false" customHeight="false" outlineLevel="0" collapsed="false">
      <c r="A14" s="2"/>
      <c r="B14" s="2"/>
      <c r="C14" s="2"/>
      <c r="D14" s="2"/>
    </row>
    <row r="15" customFormat="false" ht="15" hidden="false" customHeight="false" outlineLevel="0" collapsed="false">
      <c r="A15" s="2"/>
      <c r="B15" s="2"/>
      <c r="C15" s="2"/>
      <c r="D15" s="2"/>
    </row>
    <row r="16" customFormat="false" ht="15" hidden="false" customHeight="false" outlineLevel="0" collapsed="false">
      <c r="A16" s="2"/>
      <c r="B16" s="2"/>
      <c r="C16" s="2"/>
      <c r="D16" s="2"/>
    </row>
    <row r="17" customFormat="false" ht="15" hidden="false" customHeight="false" outlineLevel="0" collapsed="false">
      <c r="A17" s="2"/>
      <c r="B17" s="2"/>
      <c r="C17" s="2"/>
      <c r="D17" s="2"/>
    </row>
    <row r="18" customFormat="false" ht="15" hidden="false" customHeight="false" outlineLevel="0" collapsed="false">
      <c r="A18" s="2"/>
      <c r="B18" s="2"/>
      <c r="C18" s="2"/>
      <c r="D18" s="2"/>
    </row>
    <row r="19" customFormat="false" ht="15" hidden="false" customHeight="false" outlineLevel="0" collapsed="false">
      <c r="A19" s="2"/>
      <c r="B19" s="2"/>
      <c r="C19" s="2"/>
      <c r="D19" s="2"/>
    </row>
    <row r="20" customFormat="false" ht="15" hidden="false" customHeight="false" outlineLevel="0" collapsed="false">
      <c r="A20" s="2"/>
      <c r="B20" s="2"/>
      <c r="C20" s="2"/>
      <c r="D20" s="2"/>
    </row>
    <row r="21" customFormat="false" ht="15" hidden="false" customHeight="false" outlineLevel="0" collapsed="false">
      <c r="A21" s="2"/>
      <c r="B21" s="2"/>
      <c r="C21" s="2"/>
      <c r="D21" s="2"/>
    </row>
    <row r="22" customFormat="false" ht="15" hidden="false" customHeight="false" outlineLevel="0" collapsed="false">
      <c r="A22" s="2"/>
      <c r="B22" s="2"/>
      <c r="C22" s="2"/>
      <c r="D22" s="2"/>
    </row>
    <row r="23" customFormat="false" ht="15" hidden="false" customHeight="false" outlineLevel="0" collapsed="false">
      <c r="A23" s="2"/>
      <c r="B23" s="2"/>
      <c r="C23" s="2"/>
      <c r="D23" s="2"/>
    </row>
    <row r="24" customFormat="false" ht="15" hidden="false" customHeight="false" outlineLevel="0" collapsed="false">
      <c r="A24" s="2"/>
      <c r="B24" s="2"/>
      <c r="C24" s="2"/>
      <c r="D24" s="2"/>
    </row>
    <row r="25" customFormat="false" ht="15" hidden="false" customHeight="false" outlineLevel="0" collapsed="false">
      <c r="A25" s="2"/>
      <c r="B25" s="2"/>
      <c r="C25" s="2"/>
      <c r="D25" s="2"/>
    </row>
    <row r="26" customFormat="false" ht="15" hidden="false" customHeight="false" outlineLevel="0" collapsed="false">
      <c r="A26" s="2"/>
      <c r="B26" s="2"/>
      <c r="C26" s="2"/>
      <c r="D26" s="2"/>
    </row>
    <row r="27" customFormat="false" ht="15" hidden="false" customHeight="false" outlineLevel="0" collapsed="false">
      <c r="A27" s="2"/>
      <c r="B27" s="2"/>
      <c r="C27" s="2"/>
      <c r="D27" s="2"/>
    </row>
    <row r="28" customFormat="false" ht="15" hidden="false" customHeight="false" outlineLevel="0" collapsed="false">
      <c r="A28" s="2"/>
      <c r="B28" s="2"/>
      <c r="C28" s="2"/>
      <c r="D28" s="2"/>
    </row>
    <row r="29" customFormat="false" ht="15" hidden="false" customHeight="false" outlineLevel="0" collapsed="false">
      <c r="A29" s="2"/>
      <c r="B29" s="2"/>
      <c r="C29" s="2"/>
      <c r="D29" s="2"/>
    </row>
    <row r="30" customFormat="false" ht="15" hidden="false" customHeight="false" outlineLevel="0" collapsed="false">
      <c r="A30" s="2"/>
      <c r="B30" s="2"/>
      <c r="C30" s="2"/>
      <c r="D30" s="2"/>
    </row>
    <row r="31" customFormat="false" ht="15" hidden="false" customHeight="false" outlineLevel="0" collapsed="false">
      <c r="A31" s="2"/>
      <c r="B31" s="2"/>
      <c r="C31" s="2"/>
      <c r="D31" s="2"/>
    </row>
    <row r="32" customFormat="false" ht="15" hidden="false" customHeight="false" outlineLevel="0" collapsed="false">
      <c r="A32" s="2"/>
      <c r="B32" s="2"/>
      <c r="C32" s="2"/>
      <c r="D32" s="2"/>
    </row>
    <row r="33" customFormat="false" ht="15" hidden="false" customHeight="false" outlineLevel="0" collapsed="false">
      <c r="A33" s="2"/>
      <c r="B33" s="2"/>
      <c r="C33" s="2"/>
      <c r="D33" s="2"/>
    </row>
    <row r="34" customFormat="false" ht="15" hidden="false" customHeight="false" outlineLevel="0" collapsed="false">
      <c r="A34" s="2"/>
      <c r="B34" s="2"/>
      <c r="C34" s="2"/>
      <c r="D34" s="2"/>
    </row>
    <row r="35" customFormat="false" ht="15" hidden="false" customHeight="false" outlineLevel="0" collapsed="false">
      <c r="A35" s="2"/>
      <c r="B35" s="2"/>
      <c r="C35" s="2"/>
      <c r="D35" s="2"/>
    </row>
    <row r="36" customFormat="false" ht="15" hidden="false" customHeight="false" outlineLevel="0" collapsed="false">
      <c r="A36" s="2"/>
      <c r="B36" s="2"/>
      <c r="C36" s="2"/>
      <c r="D36" s="2"/>
    </row>
    <row r="37" customFormat="false" ht="15" hidden="false" customHeight="false" outlineLevel="0" collapsed="false">
      <c r="A37" s="2"/>
      <c r="B37" s="2"/>
      <c r="C37" s="2"/>
      <c r="D37" s="2"/>
    </row>
    <row r="38" customFormat="false" ht="15" hidden="false" customHeight="false" outlineLevel="0" collapsed="false">
      <c r="A38" s="2"/>
      <c r="B38" s="2"/>
      <c r="C38" s="2"/>
      <c r="D38" s="2"/>
    </row>
    <row r="39" customFormat="false" ht="15" hidden="false" customHeight="false" outlineLevel="0" collapsed="false">
      <c r="A39" s="2"/>
      <c r="B39" s="2"/>
      <c r="C39" s="2"/>
      <c r="D39" s="2"/>
    </row>
    <row r="40" customFormat="false" ht="15" hidden="false" customHeight="false" outlineLevel="0" collapsed="false">
      <c r="A40" s="2"/>
      <c r="B40" s="2"/>
      <c r="C40" s="2"/>
      <c r="D40" s="2"/>
    </row>
    <row r="41" customFormat="false" ht="15" hidden="false" customHeight="false" outlineLevel="0" collapsed="false">
      <c r="A41" s="2"/>
      <c r="B41" s="2"/>
      <c r="C41" s="2"/>
      <c r="D41" s="2"/>
    </row>
    <row r="42" customFormat="false" ht="15" hidden="false" customHeight="false" outlineLevel="0" collapsed="false">
      <c r="A42" s="2"/>
      <c r="B42" s="2"/>
      <c r="C42" s="2"/>
      <c r="D42" s="2"/>
    </row>
    <row r="43" customFormat="false" ht="15" hidden="false" customHeight="false" outlineLevel="0" collapsed="false">
      <c r="A43" s="2"/>
      <c r="B43" s="2"/>
      <c r="C43" s="2"/>
      <c r="D43" s="2"/>
    </row>
    <row r="44" customFormat="false" ht="15" hidden="false" customHeight="false" outlineLevel="0" collapsed="false">
      <c r="A44" s="2"/>
      <c r="B44" s="2"/>
      <c r="C44" s="2"/>
      <c r="D44" s="2"/>
    </row>
    <row r="45" customFormat="false" ht="15" hidden="false" customHeight="false" outlineLevel="0" collapsed="false">
      <c r="A45" s="2"/>
      <c r="B45" s="2"/>
      <c r="C45" s="2"/>
      <c r="D45" s="2"/>
    </row>
    <row r="46" customFormat="false" ht="15" hidden="false" customHeight="false" outlineLevel="0" collapsed="false">
      <c r="A46" s="2"/>
      <c r="B46" s="2"/>
      <c r="C46" s="2"/>
      <c r="D46" s="2"/>
    </row>
    <row r="47" customFormat="false" ht="15" hidden="false" customHeight="false" outlineLevel="0" collapsed="false">
      <c r="A47" s="2"/>
      <c r="B47" s="2"/>
      <c r="C47" s="2"/>
      <c r="D47" s="2"/>
    </row>
    <row r="48" customFormat="false" ht="15" hidden="false" customHeight="false" outlineLevel="0" collapsed="false">
      <c r="A48" s="2"/>
      <c r="B48" s="2"/>
      <c r="C48" s="2"/>
      <c r="D48" s="2"/>
    </row>
    <row r="49" customFormat="false" ht="15" hidden="false" customHeight="false" outlineLevel="0" collapsed="false">
      <c r="A49" s="2"/>
      <c r="B49" s="2"/>
      <c r="C49" s="2"/>
      <c r="D49" s="2"/>
    </row>
    <row r="50" customFormat="false" ht="15" hidden="false" customHeight="false" outlineLevel="0" collapsed="false">
      <c r="A50" s="2"/>
      <c r="B50" s="2"/>
      <c r="C50" s="2"/>
      <c r="D50" s="2"/>
    </row>
    <row r="51" customFormat="false" ht="15" hidden="false" customHeight="false" outlineLevel="0" collapsed="false">
      <c r="A51" s="2"/>
      <c r="B51" s="2"/>
      <c r="C51" s="2"/>
      <c r="D51" s="2"/>
    </row>
    <row r="52" customFormat="false" ht="15" hidden="false" customHeight="false" outlineLevel="0" collapsed="false">
      <c r="A52" s="2"/>
      <c r="B52" s="2"/>
      <c r="C52" s="2"/>
      <c r="D52" s="2"/>
    </row>
    <row r="53" customFormat="false" ht="15" hidden="false" customHeight="false" outlineLevel="0" collapsed="false">
      <c r="A53" s="2"/>
      <c r="B53" s="2"/>
      <c r="C53" s="2"/>
      <c r="D53" s="2"/>
    </row>
    <row r="54" customFormat="false" ht="15" hidden="false" customHeight="false" outlineLevel="0" collapsed="false">
      <c r="A54" s="2"/>
      <c r="B54" s="2"/>
      <c r="C54" s="2"/>
      <c r="D54" s="2"/>
    </row>
    <row r="55" customFormat="false" ht="15" hidden="false" customHeight="false" outlineLevel="0" collapsed="false">
      <c r="A55" s="2"/>
      <c r="B55" s="2"/>
      <c r="C55" s="2"/>
      <c r="D55" s="2"/>
    </row>
    <row r="56" customFormat="false" ht="15" hidden="false" customHeight="false" outlineLevel="0" collapsed="false">
      <c r="A56" s="2"/>
      <c r="B56" s="2"/>
      <c r="C56" s="2"/>
      <c r="D56" s="2"/>
    </row>
    <row r="57" customFormat="false" ht="15" hidden="false" customHeight="false" outlineLevel="0" collapsed="false">
      <c r="A57" s="2"/>
      <c r="B57" s="2"/>
      <c r="C57" s="2"/>
      <c r="D57" s="2"/>
    </row>
    <row r="58" customFormat="false" ht="15" hidden="false" customHeight="false" outlineLevel="0" collapsed="false">
      <c r="A58" s="2"/>
      <c r="B58" s="2"/>
      <c r="C58" s="2"/>
      <c r="D58" s="2"/>
    </row>
    <row r="59" customFormat="false" ht="15" hidden="false" customHeight="false" outlineLevel="0" collapsed="false">
      <c r="A59" s="2"/>
      <c r="B59" s="2"/>
      <c r="C59" s="2"/>
      <c r="D5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8"/>
  </cols>
  <sheetData>
    <row r="1" customFormat="false" ht="19.7" hidden="false" customHeight="false" outlineLevel="0" collapsed="false">
      <c r="A1" s="1" t="s">
        <v>67</v>
      </c>
      <c r="B1" s="2"/>
      <c r="C1" s="2"/>
      <c r="D1" s="2"/>
    </row>
    <row r="2" customFormat="false" ht="15" hidden="false" customHeight="false" outlineLevel="0" collapsed="false">
      <c r="A2" s="3" t="s">
        <v>1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30" hidden="false" customHeight="true" outlineLevel="0" collapsed="false">
      <c r="A4" s="4"/>
      <c r="B4" s="5" t="s">
        <v>68</v>
      </c>
      <c r="C4" s="5" t="s">
        <v>69</v>
      </c>
      <c r="D4" s="5" t="s">
        <v>70</v>
      </c>
    </row>
    <row r="5" customFormat="false" ht="15" hidden="false" customHeight="false" outlineLevel="0" collapsed="false">
      <c r="A5" s="2" t="s">
        <v>71</v>
      </c>
      <c r="B5" s="2"/>
      <c r="C5" s="9" t="n">
        <v>4000</v>
      </c>
      <c r="D5" s="2"/>
    </row>
    <row r="6" customFormat="false" ht="15" hidden="false" customHeight="false" outlineLevel="0" collapsed="false">
      <c r="A6" s="2" t="s">
        <v>72</v>
      </c>
      <c r="B6" s="2"/>
      <c r="C6" s="9" t="n">
        <v>12000</v>
      </c>
      <c r="D6" s="2"/>
    </row>
    <row r="7" customFormat="false" ht="15" hidden="false" customHeight="false" outlineLevel="0" collapsed="false">
      <c r="A7" s="2" t="s">
        <v>73</v>
      </c>
      <c r="B7" s="2"/>
      <c r="C7" s="2"/>
      <c r="D7" s="6" t="n">
        <f aca="false">Assumptions!B20</f>
        <v>102650</v>
      </c>
    </row>
    <row r="8" customFormat="false" ht="15" hidden="false" customHeight="false" outlineLevel="0" collapsed="false">
      <c r="A8" s="2" t="s">
        <v>74</v>
      </c>
      <c r="B8" s="2"/>
      <c r="C8" s="6" t="n">
        <f aca="false">Assumptions!B27</f>
        <v>27000</v>
      </c>
      <c r="D8" s="6" t="n">
        <f aca="false">Assumptions!B27*2</f>
        <v>54000</v>
      </c>
    </row>
    <row r="9" customFormat="false" ht="15" hidden="false" customHeight="false" outlineLevel="0" collapsed="false">
      <c r="A9" s="2" t="s">
        <v>75</v>
      </c>
      <c r="B9" s="2"/>
      <c r="C9" s="6" t="n">
        <f aca="false">Assumptions!B28</f>
        <v>71750</v>
      </c>
      <c r="D9" s="6" t="n">
        <f aca="false">Assumptions!B28*1.5</f>
        <v>107625</v>
      </c>
    </row>
    <row r="10" customFormat="false" ht="15" hidden="false" customHeight="false" outlineLevel="0" collapsed="false">
      <c r="A10" s="2"/>
      <c r="B10" s="2"/>
      <c r="C10" s="2"/>
      <c r="D10" s="2"/>
    </row>
    <row r="11" customFormat="false" ht="15" hidden="false" customHeight="false" outlineLevel="0" collapsed="false">
      <c r="A11" s="2" t="s">
        <v>76</v>
      </c>
      <c r="B11" s="6" t="n">
        <f aca="false">SUM(Projection!B6:D6)</f>
        <v>132500</v>
      </c>
      <c r="C11" s="6" t="n">
        <f aca="false">C5*36+C6</f>
        <v>156000</v>
      </c>
      <c r="D11" s="6" t="n">
        <v>0</v>
      </c>
    </row>
    <row r="12" customFormat="false" ht="15" hidden="false" customHeight="false" outlineLevel="0" collapsed="false">
      <c r="A12" s="2" t="s">
        <v>77</v>
      </c>
      <c r="B12" s="6" t="n">
        <f aca="false">SUM(Projection!B9:D9)</f>
        <v>39750</v>
      </c>
      <c r="C12" s="6" t="n">
        <v>0</v>
      </c>
      <c r="D12" s="6" t="n">
        <v>0</v>
      </c>
    </row>
    <row r="13" customFormat="false" ht="15" hidden="false" customHeight="false" outlineLevel="0" collapsed="false">
      <c r="A13" s="2" t="s">
        <v>78</v>
      </c>
      <c r="B13" s="6" t="n">
        <v>0</v>
      </c>
      <c r="C13" s="6" t="n">
        <f aca="false">C8+C9</f>
        <v>98750</v>
      </c>
      <c r="D13" s="6" t="n">
        <f aca="false">D7+D8+D9</f>
        <v>264275</v>
      </c>
    </row>
    <row r="14" customFormat="false" ht="15" hidden="false" customHeight="false" outlineLevel="0" collapsed="false">
      <c r="A14" s="16" t="s">
        <v>79</v>
      </c>
      <c r="B14" s="11" t="n">
        <f aca="false">B11-B12+B13</f>
        <v>92750</v>
      </c>
      <c r="C14" s="11" t="n">
        <f aca="false">C11-C12+C13</f>
        <v>254750</v>
      </c>
      <c r="D14" s="11" t="n">
        <f aca="false">D11-D12+D13</f>
        <v>264275</v>
      </c>
    </row>
    <row r="15" customFormat="false" ht="15" hidden="false" customHeight="false" outlineLevel="0" collapsed="false">
      <c r="A15" s="2" t="s">
        <v>80</v>
      </c>
      <c r="B15" s="6" t="n">
        <f aca="false">SUM(Projection!B11:D11)</f>
        <v>132500</v>
      </c>
      <c r="C15" s="6" t="n">
        <v>0</v>
      </c>
      <c r="D15" s="6" t="n">
        <v>0</v>
      </c>
    </row>
    <row r="16" customFormat="false" ht="15" hidden="false" customHeight="false" outlineLevel="0" collapsed="false">
      <c r="A16" s="2" t="s">
        <v>81</v>
      </c>
      <c r="B16" s="6" t="n">
        <f aca="false">MIN(B15,Assumptions!B29)</f>
        <v>132500</v>
      </c>
      <c r="C16" s="6" t="n">
        <v>0</v>
      </c>
      <c r="D16" s="6" t="n">
        <f aca="false">D7</f>
        <v>102650</v>
      </c>
    </row>
    <row r="17" customFormat="false" ht="15" hidden="false" customHeight="false" outlineLevel="0" collapsed="false">
      <c r="A17" s="2"/>
      <c r="B17" s="2"/>
      <c r="C17" s="2"/>
      <c r="D17" s="2"/>
    </row>
    <row r="18" customFormat="false" ht="15" hidden="false" customHeight="false" outlineLevel="0" collapsed="false">
      <c r="A18" s="2" t="s">
        <v>82</v>
      </c>
      <c r="B18" s="17" t="n">
        <f aca="false">C14-B14</f>
        <v>162000</v>
      </c>
      <c r="C18" s="2"/>
      <c r="D18" s="2"/>
    </row>
    <row r="19" customFormat="false" ht="15" hidden="false" customHeight="false" outlineLevel="0" collapsed="false">
      <c r="A19" s="2"/>
      <c r="B19" s="2"/>
      <c r="C19" s="2"/>
      <c r="D19" s="2"/>
    </row>
    <row r="20" customFormat="false" ht="15" hidden="false" customHeight="false" outlineLevel="0" collapsed="false">
      <c r="A20" s="2"/>
      <c r="B20" s="2"/>
      <c r="C20" s="2"/>
      <c r="D20" s="2"/>
    </row>
    <row r="21" customFormat="false" ht="15" hidden="false" customHeight="false" outlineLevel="0" collapsed="false">
      <c r="A21" s="2"/>
      <c r="B21" s="2"/>
      <c r="C21" s="2"/>
      <c r="D21" s="2"/>
    </row>
    <row r="22" customFormat="false" ht="15" hidden="false" customHeight="false" outlineLevel="0" collapsed="false">
      <c r="A22" s="2"/>
      <c r="B22" s="2"/>
      <c r="C22" s="2"/>
      <c r="D22" s="2"/>
    </row>
    <row r="23" customFormat="false" ht="15" hidden="false" customHeight="false" outlineLevel="0" collapsed="false">
      <c r="A23" s="2"/>
      <c r="B23" s="2"/>
      <c r="C23" s="2"/>
      <c r="D23" s="2"/>
    </row>
    <row r="24" customFormat="false" ht="15" hidden="false" customHeight="false" outlineLevel="0" collapsed="false">
      <c r="A24" s="2"/>
      <c r="B24" s="2"/>
      <c r="C24" s="2"/>
      <c r="D24" s="2"/>
    </row>
    <row r="25" customFormat="false" ht="15" hidden="false" customHeight="false" outlineLevel="0" collapsed="false">
      <c r="A25" s="2"/>
      <c r="B25" s="2"/>
      <c r="C25" s="2"/>
      <c r="D25" s="2"/>
    </row>
    <row r="26" customFormat="false" ht="15" hidden="false" customHeight="false" outlineLevel="0" collapsed="false">
      <c r="A26" s="2"/>
      <c r="B26" s="2"/>
      <c r="C26" s="2"/>
      <c r="D26" s="2"/>
    </row>
    <row r="27" customFormat="false" ht="15" hidden="false" customHeight="false" outlineLevel="0" collapsed="false">
      <c r="A27" s="2"/>
      <c r="B27" s="2"/>
      <c r="C27" s="2"/>
      <c r="D27" s="2"/>
    </row>
    <row r="28" customFormat="false" ht="15" hidden="false" customHeight="false" outlineLevel="0" collapsed="false">
      <c r="A28" s="2"/>
      <c r="B28" s="2"/>
      <c r="C28" s="2"/>
      <c r="D28" s="2"/>
    </row>
    <row r="29" customFormat="false" ht="15" hidden="false" customHeight="false" outlineLevel="0" collapsed="false">
      <c r="A29" s="2"/>
      <c r="B29" s="2"/>
      <c r="C29" s="2"/>
      <c r="D29" s="2"/>
    </row>
    <row r="30" customFormat="false" ht="15" hidden="false" customHeight="false" outlineLevel="0" collapsed="false">
      <c r="A30" s="2"/>
      <c r="B30" s="2"/>
      <c r="C30" s="2"/>
      <c r="D30" s="2"/>
    </row>
    <row r="31" customFormat="false" ht="15" hidden="false" customHeight="false" outlineLevel="0" collapsed="false">
      <c r="A31" s="2"/>
      <c r="B31" s="2"/>
      <c r="C31" s="2"/>
      <c r="D31" s="2"/>
    </row>
    <row r="32" customFormat="false" ht="15" hidden="false" customHeight="false" outlineLevel="0" collapsed="false">
      <c r="A32" s="2"/>
      <c r="B32" s="2"/>
      <c r="C32" s="2"/>
      <c r="D32" s="2"/>
    </row>
    <row r="33" customFormat="false" ht="15" hidden="false" customHeight="false" outlineLevel="0" collapsed="false">
      <c r="A33" s="2"/>
      <c r="B33" s="2"/>
      <c r="C33" s="2"/>
      <c r="D33" s="2"/>
    </row>
    <row r="34" customFormat="false" ht="15" hidden="false" customHeight="false" outlineLevel="0" collapsed="false">
      <c r="A34" s="2"/>
      <c r="B34" s="2"/>
      <c r="C34" s="2"/>
      <c r="D34" s="2"/>
    </row>
    <row r="35" customFormat="false" ht="15" hidden="false" customHeight="false" outlineLevel="0" collapsed="false">
      <c r="A35" s="2"/>
      <c r="B35" s="2"/>
      <c r="C35" s="2"/>
      <c r="D35" s="2"/>
    </row>
    <row r="36" customFormat="false" ht="15" hidden="false" customHeight="false" outlineLevel="0" collapsed="false">
      <c r="A36" s="2"/>
      <c r="B36" s="2"/>
      <c r="C36" s="2"/>
      <c r="D36" s="2"/>
    </row>
    <row r="37" customFormat="false" ht="15" hidden="false" customHeight="false" outlineLevel="0" collapsed="false">
      <c r="A37" s="2"/>
      <c r="B37" s="2"/>
      <c r="C37" s="2"/>
      <c r="D37" s="2"/>
    </row>
    <row r="38" customFormat="false" ht="15" hidden="false" customHeight="false" outlineLevel="0" collapsed="false">
      <c r="A38" s="2"/>
      <c r="B38" s="2"/>
      <c r="C38" s="2"/>
      <c r="D38" s="2"/>
    </row>
    <row r="39" customFormat="false" ht="15" hidden="false" customHeight="false" outlineLevel="0" collapsed="false">
      <c r="A39" s="2"/>
      <c r="B39" s="2"/>
      <c r="C39" s="2"/>
      <c r="D39" s="2"/>
    </row>
    <row r="40" customFormat="false" ht="15" hidden="false" customHeight="false" outlineLevel="0" collapsed="false">
      <c r="A40" s="2"/>
      <c r="B40" s="2"/>
      <c r="C40" s="2"/>
      <c r="D40" s="2"/>
    </row>
    <row r="41" customFormat="false" ht="15" hidden="false" customHeight="false" outlineLevel="0" collapsed="false">
      <c r="A41" s="2"/>
      <c r="B41" s="2"/>
      <c r="C41" s="2"/>
      <c r="D41" s="2"/>
    </row>
    <row r="42" customFormat="false" ht="15" hidden="false" customHeight="false" outlineLevel="0" collapsed="false">
      <c r="A42" s="2"/>
      <c r="B42" s="2"/>
      <c r="C42" s="2"/>
      <c r="D42" s="2"/>
    </row>
    <row r="43" customFormat="false" ht="15" hidden="false" customHeight="false" outlineLevel="0" collapsed="false">
      <c r="A43" s="2"/>
      <c r="B43" s="2"/>
      <c r="C43" s="2"/>
      <c r="D43" s="2"/>
    </row>
    <row r="44" customFormat="false" ht="15" hidden="false" customHeight="false" outlineLevel="0" collapsed="false">
      <c r="A44" s="2"/>
      <c r="B44" s="2"/>
      <c r="C44" s="2"/>
      <c r="D44" s="2"/>
    </row>
    <row r="45" customFormat="false" ht="15" hidden="false" customHeight="false" outlineLevel="0" collapsed="false">
      <c r="A45" s="2"/>
      <c r="B45" s="2"/>
      <c r="C45" s="2"/>
      <c r="D45" s="2"/>
    </row>
    <row r="46" customFormat="false" ht="15" hidden="false" customHeight="false" outlineLevel="0" collapsed="false">
      <c r="A46" s="2"/>
      <c r="B46" s="2"/>
      <c r="C46" s="2"/>
      <c r="D46" s="2"/>
    </row>
    <row r="47" customFormat="false" ht="15" hidden="false" customHeight="false" outlineLevel="0" collapsed="false">
      <c r="A47" s="2"/>
      <c r="B47" s="2"/>
      <c r="C47" s="2"/>
      <c r="D47" s="2"/>
    </row>
    <row r="48" customFormat="false" ht="15" hidden="false" customHeight="false" outlineLevel="0" collapsed="false">
      <c r="A48" s="2"/>
      <c r="B48" s="2"/>
      <c r="C48" s="2"/>
      <c r="D48" s="2"/>
    </row>
    <row r="49" customFormat="false" ht="15" hidden="false" customHeight="false" outlineLevel="0" collapsed="false">
      <c r="A49" s="2"/>
      <c r="B49" s="2"/>
      <c r="C49" s="2"/>
      <c r="D49" s="2"/>
    </row>
    <row r="50" customFormat="false" ht="15" hidden="false" customHeight="false" outlineLevel="0" collapsed="false">
      <c r="A50" s="2"/>
      <c r="B50" s="2"/>
      <c r="C50" s="2"/>
      <c r="D50" s="2"/>
    </row>
    <row r="51" customFormat="false" ht="15" hidden="false" customHeight="false" outlineLevel="0" collapsed="false">
      <c r="A51" s="2"/>
      <c r="B51" s="2"/>
      <c r="C51" s="2"/>
      <c r="D51" s="2"/>
    </row>
    <row r="52" customFormat="false" ht="15" hidden="false" customHeight="false" outlineLevel="0" collapsed="false">
      <c r="A52" s="2"/>
      <c r="B52" s="2"/>
      <c r="C52" s="2"/>
      <c r="D52" s="2"/>
    </row>
    <row r="53" customFormat="false" ht="15" hidden="false" customHeight="false" outlineLevel="0" collapsed="false">
      <c r="A53" s="2"/>
      <c r="B53" s="2"/>
      <c r="C53" s="2"/>
      <c r="D53" s="2"/>
    </row>
    <row r="54" customFormat="false" ht="15" hidden="false" customHeight="false" outlineLevel="0" collapsed="false">
      <c r="A54" s="2"/>
      <c r="B54" s="2"/>
      <c r="C54" s="2"/>
      <c r="D54" s="2"/>
    </row>
    <row r="55" customFormat="false" ht="15" hidden="false" customHeight="false" outlineLevel="0" collapsed="false">
      <c r="A55" s="2"/>
      <c r="B55" s="2"/>
      <c r="C55" s="2"/>
      <c r="D55" s="2"/>
    </row>
    <row r="56" customFormat="false" ht="15" hidden="false" customHeight="false" outlineLevel="0" collapsed="false">
      <c r="A56" s="2"/>
      <c r="B56" s="2"/>
      <c r="C56" s="2"/>
      <c r="D56" s="2"/>
    </row>
    <row r="57" customFormat="false" ht="15" hidden="false" customHeight="false" outlineLevel="0" collapsed="false">
      <c r="A57" s="2"/>
      <c r="B57" s="2"/>
      <c r="C57" s="2"/>
      <c r="D57" s="2"/>
    </row>
    <row r="58" customFormat="false" ht="15" hidden="false" customHeight="false" outlineLevel="0" collapsed="false">
      <c r="A58" s="2"/>
      <c r="B58" s="2"/>
      <c r="C58" s="2"/>
      <c r="D58" s="2"/>
    </row>
    <row r="59" customFormat="false" ht="15" hidden="false" customHeight="false" outlineLevel="0" collapsed="false">
      <c r="A59" s="2"/>
      <c r="B59" s="2"/>
      <c r="C59" s="2"/>
      <c r="D5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2026-09-26T23:48:37Z</dcterms:created>
  <dc:creator>openpyxl</dc:creator>
  <dc:description/>
  <dc:language>en-US</dc:language>
  <cp:lastModifiedBy/>
  <dcterms:modified xsi:type="dcterms:W3CDTF">2026-09-26T23:48:37Z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